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0" applyAlignment="1" pivotButton="0" quotePrefix="0" xfId="0">
      <alignment horizontal="left" vertical="top" wrapText="1"/>
    </xf>
    <xf numFmtId="0" fontId="2" fillId="0" borderId="0" applyAlignment="1" pivotButton="0" quotePrefix="0" xfId="0">
      <alignment horizontal="left" vertical="top"/>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55" zoomScale="85" zoomScaleNormal="85" workbookViewId="0">
      <selection activeCell="M57" sqref="M57"/>
    </sheetView>
  </sheetViews>
  <sheetFormatPr baseColWidth="8" defaultColWidth="9.140625" defaultRowHeight="18.75"/>
  <cols>
    <col width="15.7109375" customWidth="1" style="43" min="1" max="1"/>
    <col width="37.85546875" customWidth="1" style="43" min="2" max="2"/>
    <col width="18" customWidth="1" style="83"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3" min="15" max="15"/>
    <col width="9.140625" customWidth="1" style="83" min="16" max="3163"/>
    <col width="9.140625" customWidth="1" style="83" min="3164"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2" t="n"/>
    </row>
    <row r="2" ht="18.75" customHeight="1">
      <c r="A2" s="32" t="n"/>
      <c r="B2" s="32" t="inlineStr">
        <is>
          <t>Link</t>
        </is>
      </c>
      <c r="C2" s="15" t="n"/>
      <c r="D2" s="15" t="n"/>
      <c r="E2" s="15" t="n"/>
      <c r="F2" s="15" t="n"/>
      <c r="G2" s="6" t="n"/>
      <c r="H2" s="6" t="n"/>
      <c r="I2" s="6" t="n"/>
      <c r="J2" s="6" t="n"/>
      <c r="K2" s="6" t="n"/>
      <c r="L2" s="4" t="n"/>
      <c r="M2" s="20" t="n"/>
      <c r="N2" s="20" t="n"/>
      <c r="O2" s="86" t="n"/>
    </row>
    <row r="3" ht="18.75" customHeight="1">
      <c r="A3" s="32" t="n"/>
      <c r="B3" s="33" t="inlineStr">
        <is>
          <t>Test Case</t>
        </is>
      </c>
      <c r="C3" s="16" t="inlineStr">
        <is>
          <t>Total</t>
        </is>
      </c>
      <c r="D3" s="16" t="inlineStr">
        <is>
          <t>Pass</t>
        </is>
      </c>
      <c r="E3" s="16" t="inlineStr">
        <is>
          <t>Fail</t>
        </is>
      </c>
      <c r="F3" s="16" t="n"/>
      <c r="G3" s="87" t="n"/>
      <c r="H3" s="87" t="n"/>
      <c r="I3" s="87" t="n"/>
      <c r="J3" s="87" t="n"/>
      <c r="K3" s="87" t="n"/>
      <c r="L3" s="88" t="inlineStr">
        <is>
          <t>Gọi telegram lỗi nghiêm trọng</t>
        </is>
      </c>
      <c r="M3" s="89" t="n"/>
      <c r="N3" s="85" t="n"/>
      <c r="O3" s="86" t="n"/>
    </row>
    <row r="4" ht="18.75" customHeight="1">
      <c r="A4" s="32" t="n"/>
      <c r="B4" s="32" t="inlineStr">
        <is>
          <t>Mức độ 1</t>
        </is>
      </c>
      <c r="C4" s="15">
        <f>COUNTIF(H:H,"x")</f>
        <v/>
      </c>
      <c r="D4" s="15">
        <f>COUNTIFS(G:G,"Pass",H:H,"x")</f>
        <v/>
      </c>
      <c r="E4" s="15">
        <f>COUNTIFS(G:G,"Fail",H:H,"x")</f>
        <v/>
      </c>
      <c r="F4" s="15" t="n"/>
      <c r="G4" s="6" t="n"/>
      <c r="H4" s="6" t="n"/>
      <c r="I4" s="6" t="n"/>
      <c r="J4" s="6" t="n"/>
      <c r="K4" s="6" t="n"/>
      <c r="L4" s="87" t="inlineStr">
        <is>
          <t>Độ ưu tiên</t>
        </is>
      </c>
      <c r="M4" s="87" t="inlineStr">
        <is>
          <t>Số điện thoại(Tag)</t>
        </is>
      </c>
      <c r="N4" s="85" t="n"/>
      <c r="O4" s="86"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4" t="inlineStr">
        <is>
          <t>+84 359 667 694(@truongtran1504)</t>
        </is>
      </c>
      <c r="N5" s="85" t="n"/>
      <c r="O5" s="86"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4" t="inlineStr">
        <is>
          <t>+84 359 667 694(@truongtran1504)</t>
        </is>
      </c>
      <c r="N6" s="85" t="n"/>
      <c r="O6" s="82"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4" t="inlineStr">
        <is>
          <t>+84 359 667 694(@truongtran1506)</t>
        </is>
      </c>
      <c r="N7" s="85" t="n"/>
      <c r="O7" s="82"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2"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2"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2"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is>
          <t>XENHATNL</t>
        </is>
      </c>
      <c r="G31" s="4" t="inlineStr">
        <is>
          <t>Pass</t>
        </is>
      </c>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is>
          <t>nhatnl</t>
        </is>
      </c>
      <c r="G33" s="4" t="inlineStr">
        <is>
          <t>Pass</t>
        </is>
      </c>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Mở
Dữ liệu excel: Kết nối tốt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0/64</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https://app.staxi.vn/Content/themes/img/YellowCar.png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64/64</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15A32490</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503
Danh sách giám sát: 503</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20.71539</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106.6661</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X. Kiến Hưng,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19:09:14
Danh sách giám sát: 19:09:14</t>
        </is>
      </c>
      <c r="G76" s="4" t="inlineStr">
        <is>
          <t>Pass</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Zinger</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2 (TTĐH:2;App:0;Vẫy:0)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BÙI HỮU ĐẠI</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0936957500</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701160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20:00:13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18H04971
Thời gian: Từ ngày: 02/03/2026 20:00 Đến ngày: 3/3/2026 19:10</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19:13:04 03/03/26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21.01614</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105.8285</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142, Nguyễn Lương Bằng, P. Đống Đa,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8</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Minh Tuấn</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0947114635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0 (TTĐH: 0;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2024AUTO4104</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auto4105</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03/03/2026 19:27:46</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c r="G180" s="4" t="inlineStr"/>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13.805.270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19:34 - 03/03/2026
Mã giao dịch: 10338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19:35 - 03/03/2026
Mã giao dịch: 10339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0011F09F</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c r="G251" s="4" t="inlineStr"/>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c r="G253" s="4" t="inlineStr"/>
      <c r="H253" s="6" t="inlineStr">
        <is>
          <t>x</t>
        </is>
      </c>
      <c r="I253" s="2" t="n"/>
      <c r="J253" s="2" t="n"/>
      <c r="K253" s="2" t="n"/>
      <c r="L253" s="2" t="n"/>
      <c r="M253" s="42" t="inlineStr"/>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03596674106</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2100004108</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2100004109</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Tên khuyến mại 1</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c r="G307" s="4" t="inlineStr"/>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nhatnl</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Auto4111</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SEC_iii</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Auto_4112</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Auto_4119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3"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53/53
, None, 33/33
, None, 4/4
, None, 12/12
, None, 0/0
, None, 0/0
, None, 0/0
, None, 8/8
, None, 0/0
, None, 0/0
, None, 43/43
, None, 2/2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8/8
, None, 8/8
, None, 0/0
, None, 0/0
, None, 0/0
, None, 0/0
, None, 0/0
, None, 3/3
, None, 0/0
, None, 0/0
, None, 5/5
, None, 0/0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3"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auto4116</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Cập nhật số dư</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Auto_ThongBao_4117</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-20.000đ,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Auto_ThongBaoV2_4029</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Tăng giá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inlineStr"/>
      <c r="G799" s="4" t="inlineStr">
        <is>
          <t>Pass</t>
        </is>
      </c>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00072F74</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Xác nhận xuất hoá đơn khách lẻ</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2026-03-03T14:00:51Z</dcterms:modified>
  <cp:lastModifiedBy>Tran Quang Truong (PQA)</cp:lastModifiedBy>
</cp:coreProperties>
</file>